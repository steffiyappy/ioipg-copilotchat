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5 Summary" sheetId="1" state="visible" r:id="rId1"/>
    <sheet xmlns:r="http://schemas.openxmlformats.org/officeDocument/2006/relationships" name="Monthly Breakdown" sheetId="2" state="visible" r:id="rId2"/>
    <sheet xmlns:r="http://schemas.openxmlformats.org/officeDocument/2006/relationships" name="Buyer Profile Q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1"/>
    </font>
    <font>
      <sz val="10"/>
    </font>
    <font>
      <b val="1"/>
      <sz val="10"/>
    </font>
    <font>
      <b val="1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0057A8"/>
      </patternFill>
    </fill>
    <fill>
      <patternFill patternType="solid">
        <fgColor rgb="00F5F8FF"/>
      </patternFill>
    </fill>
    <fill>
      <patternFill patternType="solid">
        <fgColor rgb="00D6F0D6"/>
      </patternFill>
    </fill>
    <fill>
      <patternFill patternType="solid">
        <fgColor rgb="00FAD4D4"/>
      </patternFill>
    </fill>
    <fill>
      <patternFill patternType="solid">
        <fgColor rgb="00FFF3CD"/>
      </patternFill>
    </fill>
    <fill>
      <patternFill patternType="solid">
        <fgColor rgb="00C8D8F0"/>
      </patternFill>
    </fill>
    <fill>
      <patternFill patternType="solid">
        <fgColor rgb="00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8" borderId="0" pivotButton="0" quotePrefix="0" xfId="0"/>
    <xf numFmtId="164" fontId="5" fillId="8" borderId="0" pivotButton="0" quotePrefix="0" xfId="0"/>
    <xf numFmtId="0" fontId="7" fillId="2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12" customWidth="1" min="4" max="4"/>
    <col width="10" customWidth="1" min="5" max="5"/>
    <col width="10" customWidth="1" min="6" max="6"/>
    <col width="11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 ht="30" customHeight="1">
      <c r="A1" s="1" t="inlineStr">
        <is>
          <t>IOI Properties Group — Q1 2025 Sales Performance Dashboard</t>
        </is>
      </c>
    </row>
    <row r="2">
      <c r="A2" s="2" t="inlineStr">
        <is>
          <t>Period: January – March 2025 | Prepared: 10 April 2025 | Source: Sales Operations</t>
        </is>
      </c>
    </row>
    <row r="3" ht="50" customHeight="1">
      <c r="A3" s="3" t="inlineStr">
        <is>
          <t>Project Name</t>
        </is>
      </c>
      <c r="B3" s="3" t="inlineStr">
        <is>
          <t>Location</t>
        </is>
      </c>
      <c r="C3" s="3" t="inlineStr">
        <is>
          <t>Property Type</t>
        </is>
      </c>
      <c r="D3" s="3" t="inlineStr">
        <is>
          <t>GDV
(RM mil)</t>
        </is>
      </c>
      <c r="E3" s="3" t="inlineStr">
        <is>
          <t>Units
Launched</t>
        </is>
      </c>
      <c r="F3" s="3" t="inlineStr">
        <is>
          <t>Units
Sold</t>
        </is>
      </c>
      <c r="G3" s="3" t="inlineStr">
        <is>
          <t>Take-Up
Rate %</t>
        </is>
      </c>
      <c r="H3" s="3" t="inlineStr">
        <is>
          <t>Revenue
Recognised
(RM mil)</t>
        </is>
      </c>
      <c r="I3" s="3" t="inlineStr">
        <is>
          <t>Q1 Revenue
Target
(RM mil)</t>
        </is>
      </c>
      <c r="J3" s="3" t="inlineStr">
        <is>
          <t>Variance
(RM mil)</t>
        </is>
      </c>
      <c r="K3" s="3" t="inlineStr">
        <is>
          <t>Status</t>
        </is>
      </c>
    </row>
    <row r="4">
      <c r="A4" s="4" t="inlineStr">
        <is>
          <t>2Rio Residence</t>
        </is>
      </c>
      <c r="B4" s="4" t="inlineStr">
        <is>
          <t>Bandar Puteri Puchong</t>
        </is>
      </c>
      <c r="C4" s="4" t="inlineStr">
        <is>
          <t>Serviced Apartment</t>
        </is>
      </c>
      <c r="D4" s="5" t="n">
        <v>386</v>
      </c>
      <c r="E4" s="5" t="n">
        <v>200</v>
      </c>
      <c r="F4" s="5" t="n">
        <v>156</v>
      </c>
      <c r="G4" s="5" t="inlineStr">
        <is>
          <t>78.0%</t>
        </is>
      </c>
      <c r="H4" s="5" t="n">
        <v>78.40000000000001</v>
      </c>
      <c r="I4" s="5" t="n">
        <v>75</v>
      </c>
      <c r="J4" s="6" t="n">
        <v>3.4</v>
      </c>
      <c r="K4" s="6" t="inlineStr">
        <is>
          <t>On Track</t>
        </is>
      </c>
    </row>
    <row r="5">
      <c r="A5" s="7" t="inlineStr">
        <is>
          <t>Caladia Serviced Apt</t>
        </is>
      </c>
      <c r="B5" s="7" t="inlineStr">
        <is>
          <t>Bandar Puteri Bangi</t>
        </is>
      </c>
      <c r="C5" s="7" t="inlineStr">
        <is>
          <t>Serviced Apartment</t>
        </is>
      </c>
      <c r="D5" s="8" t="n">
        <v>249.6</v>
      </c>
      <c r="E5" s="8" t="n">
        <v>240</v>
      </c>
      <c r="F5" s="8" t="n">
        <v>226</v>
      </c>
      <c r="G5" s="8" t="inlineStr">
        <is>
          <t>94.2%</t>
        </is>
      </c>
      <c r="H5" s="8" t="n">
        <v>92.59999999999999</v>
      </c>
      <c r="I5" s="8" t="n">
        <v>85</v>
      </c>
      <c r="J5" s="6" t="n">
        <v>7.6</v>
      </c>
      <c r="K5" s="6" t="inlineStr">
        <is>
          <t>On Track</t>
        </is>
      </c>
    </row>
    <row r="6">
      <c r="A6" s="4" t="inlineStr">
        <is>
          <t>Veena Cluster Homes</t>
        </is>
      </c>
      <c r="B6" s="4" t="inlineStr">
        <is>
          <t>Bandar Putra Kulai</t>
        </is>
      </c>
      <c r="C6" s="4" t="inlineStr">
        <is>
          <t>Cluster Home</t>
        </is>
      </c>
      <c r="D6" s="5" t="n">
        <v>281.4</v>
      </c>
      <c r="E6" s="5" t="n">
        <v>120</v>
      </c>
      <c r="F6" s="5" t="n">
        <v>51</v>
      </c>
      <c r="G6" s="5" t="inlineStr">
        <is>
          <t>42.5%</t>
        </is>
      </c>
      <c r="H6" s="5" t="n">
        <v>43.2</v>
      </c>
      <c r="I6" s="5" t="n">
        <v>58</v>
      </c>
      <c r="J6" s="9" t="n">
        <v>-14.8</v>
      </c>
      <c r="K6" s="9" t="inlineStr">
        <is>
          <t>Below Target</t>
        </is>
      </c>
    </row>
    <row r="7">
      <c r="A7" s="7" t="inlineStr">
        <is>
          <t>Aurelia Townhouse</t>
        </is>
      </c>
      <c r="B7" s="7" t="inlineStr">
        <is>
          <t>Senna Puteri, Salak Tinggi</t>
        </is>
      </c>
      <c r="C7" s="7" t="inlineStr">
        <is>
          <t>Townhouse</t>
        </is>
      </c>
      <c r="D7" s="8" t="n">
        <v>89.8</v>
      </c>
      <c r="E7" s="8" t="n">
        <v>88</v>
      </c>
      <c r="F7" s="8" t="n">
        <v>54</v>
      </c>
      <c r="G7" s="8" t="inlineStr">
        <is>
          <t>61.4%</t>
        </is>
      </c>
      <c r="H7" s="8" t="n">
        <v>30.2</v>
      </c>
      <c r="I7" s="8" t="n">
        <v>32</v>
      </c>
      <c r="J7" s="9" t="n">
        <v>-1.8</v>
      </c>
      <c r="K7" s="10" t="inlineStr">
        <is>
          <t>Near Target</t>
        </is>
      </c>
    </row>
    <row r="8">
      <c r="A8" s="4" t="inlineStr">
        <is>
          <t>COVO TOD Apt</t>
        </is>
      </c>
      <c r="B8" s="4" t="inlineStr">
        <is>
          <t>16 Sierra, Puchong</t>
        </is>
      </c>
      <c r="C8" s="4" t="inlineStr">
        <is>
          <t>TOD Service Apt</t>
        </is>
      </c>
      <c r="D8" s="5" t="n">
        <v>175.8</v>
      </c>
      <c r="E8" s="5" t="n">
        <v>100</v>
      </c>
      <c r="F8" s="5" t="n">
        <v>72</v>
      </c>
      <c r="G8" s="5" t="inlineStr">
        <is>
          <t>72.0%</t>
        </is>
      </c>
      <c r="H8" s="5" t="n">
        <v>38.6</v>
      </c>
      <c r="I8" s="5" t="n">
        <v>40</v>
      </c>
      <c r="J8" s="9" t="n">
        <v>-1.4</v>
      </c>
      <c r="K8" s="10" t="inlineStr">
        <is>
          <t>Near Target</t>
        </is>
      </c>
    </row>
    <row r="9">
      <c r="A9" s="7" t="inlineStr">
        <is>
          <t>Arawani Semi-D</t>
        </is>
      </c>
      <c r="B9" s="7" t="inlineStr">
        <is>
          <t>Bandar Puteri Bangi</t>
        </is>
      </c>
      <c r="C9" s="7" t="inlineStr">
        <is>
          <t>Semi-Detached</t>
        </is>
      </c>
      <c r="D9" s="8" t="n">
        <v>106.4</v>
      </c>
      <c r="E9" s="8" t="n">
        <v>76</v>
      </c>
      <c r="F9" s="8" t="n">
        <v>34</v>
      </c>
      <c r="G9" s="8" t="inlineStr">
        <is>
          <t>44.7%</t>
        </is>
      </c>
      <c r="H9" s="8" t="n">
        <v>29.4</v>
      </c>
      <c r="I9" s="8" t="n">
        <v>35</v>
      </c>
      <c r="J9" s="9" t="n">
        <v>-5.6</v>
      </c>
      <c r="K9" s="9" t="inlineStr">
        <is>
          <t>Below Target</t>
        </is>
      </c>
    </row>
    <row r="10">
      <c r="A10" s="11" t="inlineStr">
        <is>
          <t>TOTAL / AVERAGE</t>
        </is>
      </c>
      <c r="B10" s="11" t="n"/>
      <c r="C10" s="11" t="n"/>
      <c r="D10" s="12">
        <f>SUM(D4:D9)</f>
        <v/>
      </c>
      <c r="E10" s="11">
        <f>SUM(E4:E9)</f>
        <v/>
      </c>
      <c r="F10" s="11">
        <f>SUM(F4:F9)</f>
        <v/>
      </c>
      <c r="G10" s="11">
        <f>ROUND(F10/E10*100,1)&amp;"%"</f>
        <v/>
      </c>
      <c r="H10" s="11">
        <f>SUM(H4:H9)</f>
        <v/>
      </c>
      <c r="I10" s="11">
        <f>SUM(I4:I9)</f>
        <v/>
      </c>
      <c r="J10" s="11">
        <f>SUM(J4:J9)</f>
        <v/>
      </c>
      <c r="K10" s="11" t="n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18" customWidth="1" min="4" max="4"/>
    <col width="18" customWidth="1" min="5" max="5"/>
    <col width="24" customWidth="1" min="6" max="6"/>
    <col width="20" customWidth="1" min="7" max="7"/>
    <col width="22" customWidth="1" min="8" max="8"/>
    <col width="18" customWidth="1" min="9" max="9"/>
  </cols>
  <sheetData>
    <row r="1" ht="28" customHeight="1">
      <c r="A1" s="13" t="inlineStr">
        <is>
          <t>IOI Properties — Monthly Sales Breakdown | Jan–Mar 2025</t>
        </is>
      </c>
    </row>
    <row r="2" ht="45" customHeight="1">
      <c r="A2" s="3" t="inlineStr">
        <is>
          <t>Project Name</t>
        </is>
      </c>
      <c r="B2" s="3" t="inlineStr">
        <is>
          <t>Month</t>
        </is>
      </c>
      <c r="C2" s="3" t="inlineStr">
        <is>
          <t>Units Sold</t>
        </is>
      </c>
      <c r="D2" s="3" t="inlineStr">
        <is>
          <t>Revenue (RM mil)</t>
        </is>
      </c>
      <c r="E2" s="3" t="inlineStr">
        <is>
          <t>Cumulative Units</t>
        </is>
      </c>
      <c r="F2" s="3" t="inlineStr">
        <is>
          <t>Cumulative Revenue (RM mil)</t>
        </is>
      </c>
      <c r="G2" s="3" t="inlineStr">
        <is>
          <t>Monthly Target (Units)</t>
        </is>
      </c>
      <c r="H2" s="3" t="inlineStr">
        <is>
          <t>Monthly Target (RM mil)</t>
        </is>
      </c>
      <c r="I2" s="3" t="inlineStr">
        <is>
          <t>vs Target (Units)</t>
        </is>
      </c>
    </row>
    <row r="3">
      <c r="A3" s="7" t="inlineStr">
        <is>
          <t>2Rio Residence</t>
        </is>
      </c>
      <c r="B3" s="8" t="inlineStr">
        <is>
          <t>January 2025</t>
        </is>
      </c>
      <c r="C3" s="8" t="n">
        <v>42</v>
      </c>
      <c r="D3" s="8" t="n">
        <v>21</v>
      </c>
      <c r="E3" s="8" t="n">
        <v>42</v>
      </c>
      <c r="F3" s="8" t="n">
        <v>21</v>
      </c>
      <c r="G3" s="8" t="n">
        <v>50</v>
      </c>
      <c r="H3" s="8" t="n">
        <v>25</v>
      </c>
      <c r="I3" s="9" t="n">
        <v>-8</v>
      </c>
    </row>
    <row r="4">
      <c r="A4" s="14" t="inlineStr">
        <is>
          <t>2Rio Residence</t>
        </is>
      </c>
      <c r="B4" s="15" t="inlineStr">
        <is>
          <t>February 2025</t>
        </is>
      </c>
      <c r="C4" s="15" t="n">
        <v>58</v>
      </c>
      <c r="D4" s="15" t="n">
        <v>29.1</v>
      </c>
      <c r="E4" s="15" t="n">
        <v>100</v>
      </c>
      <c r="F4" s="15" t="n">
        <v>50.1</v>
      </c>
      <c r="G4" s="15" t="n">
        <v>50</v>
      </c>
      <c r="H4" s="15" t="n">
        <v>25</v>
      </c>
      <c r="I4" s="6" t="n">
        <v>8</v>
      </c>
    </row>
    <row r="5">
      <c r="A5" s="7" t="inlineStr">
        <is>
          <t>2Rio Residence</t>
        </is>
      </c>
      <c r="B5" s="8" t="inlineStr">
        <is>
          <t>March 2025</t>
        </is>
      </c>
      <c r="C5" s="8" t="n">
        <v>56</v>
      </c>
      <c r="D5" s="8" t="n">
        <v>28.3</v>
      </c>
      <c r="E5" s="8" t="n">
        <v>156</v>
      </c>
      <c r="F5" s="8" t="n">
        <v>78.40000000000001</v>
      </c>
      <c r="G5" s="8" t="n">
        <v>50</v>
      </c>
      <c r="H5" s="8" t="n">
        <v>25</v>
      </c>
      <c r="I5" s="6" t="n">
        <v>6</v>
      </c>
    </row>
    <row r="6">
      <c r="A6" s="14" t="inlineStr">
        <is>
          <t>Caladia Serviced Apt</t>
        </is>
      </c>
      <c r="B6" s="15" t="inlineStr">
        <is>
          <t>January 2025</t>
        </is>
      </c>
      <c r="C6" s="15" t="n">
        <v>84</v>
      </c>
      <c r="D6" s="15" t="n">
        <v>34.4</v>
      </c>
      <c r="E6" s="15" t="n">
        <v>84</v>
      </c>
      <c r="F6" s="15" t="n">
        <v>34.4</v>
      </c>
      <c r="G6" s="15" t="n">
        <v>75</v>
      </c>
      <c r="H6" s="15" t="n">
        <v>30</v>
      </c>
      <c r="I6" s="6" t="n">
        <v>9</v>
      </c>
    </row>
    <row r="7">
      <c r="A7" s="7" t="inlineStr">
        <is>
          <t>Caladia Serviced Apt</t>
        </is>
      </c>
      <c r="B7" s="8" t="inlineStr">
        <is>
          <t>February 2025</t>
        </is>
      </c>
      <c r="C7" s="8" t="n">
        <v>80</v>
      </c>
      <c r="D7" s="8" t="n">
        <v>32.8</v>
      </c>
      <c r="E7" s="8" t="n">
        <v>164</v>
      </c>
      <c r="F7" s="8" t="n">
        <v>67.2</v>
      </c>
      <c r="G7" s="8" t="n">
        <v>75</v>
      </c>
      <c r="H7" s="8" t="n">
        <v>30</v>
      </c>
      <c r="I7" s="6" t="n">
        <v>5</v>
      </c>
    </row>
    <row r="8">
      <c r="A8" s="14" t="inlineStr">
        <is>
          <t>Caladia Serviced Apt</t>
        </is>
      </c>
      <c r="B8" s="15" t="inlineStr">
        <is>
          <t>March 2025</t>
        </is>
      </c>
      <c r="C8" s="15" t="n">
        <v>62</v>
      </c>
      <c r="D8" s="15" t="n">
        <v>25.4</v>
      </c>
      <c r="E8" s="15" t="n">
        <v>226</v>
      </c>
      <c r="F8" s="15" t="n">
        <v>92.59999999999999</v>
      </c>
      <c r="G8" s="15" t="n">
        <v>75</v>
      </c>
      <c r="H8" s="15" t="n">
        <v>30</v>
      </c>
      <c r="I8" s="9" t="n">
        <v>-13</v>
      </c>
    </row>
    <row r="9">
      <c r="A9" s="7" t="inlineStr">
        <is>
          <t>Veena Cluster Homes</t>
        </is>
      </c>
      <c r="B9" s="8" t="inlineStr">
        <is>
          <t>January 2025</t>
        </is>
      </c>
      <c r="C9" s="8" t="n">
        <v>20</v>
      </c>
      <c r="D9" s="8" t="n">
        <v>16.8</v>
      </c>
      <c r="E9" s="8" t="n">
        <v>20</v>
      </c>
      <c r="F9" s="8" t="n">
        <v>16.8</v>
      </c>
      <c r="G9" s="8" t="n">
        <v>40</v>
      </c>
      <c r="H9" s="8" t="n">
        <v>33.6</v>
      </c>
      <c r="I9" s="9" t="n">
        <v>-20</v>
      </c>
    </row>
    <row r="10">
      <c r="A10" s="14" t="inlineStr">
        <is>
          <t>Veena Cluster Homes</t>
        </is>
      </c>
      <c r="B10" s="15" t="inlineStr">
        <is>
          <t>February 2025</t>
        </is>
      </c>
      <c r="C10" s="15" t="n">
        <v>18</v>
      </c>
      <c r="D10" s="15" t="n">
        <v>15.1</v>
      </c>
      <c r="E10" s="15" t="n">
        <v>38</v>
      </c>
      <c r="F10" s="15" t="n">
        <v>31.9</v>
      </c>
      <c r="G10" s="15" t="n">
        <v>40</v>
      </c>
      <c r="H10" s="15" t="n">
        <v>33.6</v>
      </c>
      <c r="I10" s="9" t="n">
        <v>-22</v>
      </c>
    </row>
    <row r="11">
      <c r="A11" s="7" t="inlineStr">
        <is>
          <t>Veena Cluster Homes</t>
        </is>
      </c>
      <c r="B11" s="8" t="inlineStr">
        <is>
          <t>March 2025</t>
        </is>
      </c>
      <c r="C11" s="8" t="n">
        <v>13</v>
      </c>
      <c r="D11" s="8" t="n">
        <v>11.3</v>
      </c>
      <c r="E11" s="8" t="n">
        <v>51</v>
      </c>
      <c r="F11" s="8" t="n">
        <v>43.2</v>
      </c>
      <c r="G11" s="8" t="n">
        <v>40</v>
      </c>
      <c r="H11" s="8" t="n">
        <v>33.6</v>
      </c>
      <c r="I11" s="9" t="n">
        <v>-27</v>
      </c>
    </row>
    <row r="12">
      <c r="A12" s="14" t="inlineStr">
        <is>
          <t>Aurelia Townhouse</t>
        </is>
      </c>
      <c r="B12" s="15" t="inlineStr">
        <is>
          <t>January 2025</t>
        </is>
      </c>
      <c r="C12" s="15" t="n">
        <v>20</v>
      </c>
      <c r="D12" s="15" t="n">
        <v>11.2</v>
      </c>
      <c r="E12" s="15" t="n">
        <v>20</v>
      </c>
      <c r="F12" s="15" t="n">
        <v>11.2</v>
      </c>
      <c r="G12" s="15" t="n">
        <v>22</v>
      </c>
      <c r="H12" s="15" t="n">
        <v>12.3</v>
      </c>
      <c r="I12" s="9" t="n">
        <v>-2</v>
      </c>
    </row>
    <row r="13">
      <c r="A13" s="7" t="inlineStr">
        <is>
          <t>Aurelia Townhouse</t>
        </is>
      </c>
      <c r="B13" s="8" t="inlineStr">
        <is>
          <t>February 2025</t>
        </is>
      </c>
      <c r="C13" s="8" t="n">
        <v>18</v>
      </c>
      <c r="D13" s="8" t="n">
        <v>10.1</v>
      </c>
      <c r="E13" s="8" t="n">
        <v>38</v>
      </c>
      <c r="F13" s="8" t="n">
        <v>21.3</v>
      </c>
      <c r="G13" s="8" t="n">
        <v>22</v>
      </c>
      <c r="H13" s="8" t="n">
        <v>12.3</v>
      </c>
      <c r="I13" s="9" t="n">
        <v>-4</v>
      </c>
    </row>
    <row r="14">
      <c r="A14" s="14" t="inlineStr">
        <is>
          <t>Aurelia Townhouse</t>
        </is>
      </c>
      <c r="B14" s="15" t="inlineStr">
        <is>
          <t>March 2025</t>
        </is>
      </c>
      <c r="C14" s="15" t="n">
        <v>16</v>
      </c>
      <c r="D14" s="15" t="n">
        <v>8.9</v>
      </c>
      <c r="E14" s="15" t="n">
        <v>54</v>
      </c>
      <c r="F14" s="15" t="n">
        <v>30.2</v>
      </c>
      <c r="G14" s="15" t="n">
        <v>22</v>
      </c>
      <c r="H14" s="15" t="n">
        <v>12.3</v>
      </c>
      <c r="I14" s="9" t="n">
        <v>-6</v>
      </c>
    </row>
    <row r="15">
      <c r="A15" s="7" t="inlineStr">
        <is>
          <t>COVO TOD Apt</t>
        </is>
      </c>
      <c r="B15" s="8" t="inlineStr">
        <is>
          <t>January 2025</t>
        </is>
      </c>
      <c r="C15" s="8" t="n">
        <v>22</v>
      </c>
      <c r="D15" s="8" t="n">
        <v>12.9</v>
      </c>
      <c r="E15" s="8" t="n">
        <v>22</v>
      </c>
      <c r="F15" s="8" t="n">
        <v>12.9</v>
      </c>
      <c r="G15" s="8" t="n">
        <v>33</v>
      </c>
      <c r="H15" s="8" t="n">
        <v>19.4</v>
      </c>
      <c r="I15" s="9" t="n">
        <v>-11</v>
      </c>
    </row>
    <row r="16">
      <c r="A16" s="14" t="inlineStr">
        <is>
          <t>COVO TOD Apt</t>
        </is>
      </c>
      <c r="B16" s="15" t="inlineStr">
        <is>
          <t>February 2025</t>
        </is>
      </c>
      <c r="C16" s="15" t="n">
        <v>24</v>
      </c>
      <c r="D16" s="15" t="n">
        <v>14.1</v>
      </c>
      <c r="E16" s="15" t="n">
        <v>46</v>
      </c>
      <c r="F16" s="15" t="n">
        <v>27</v>
      </c>
      <c r="G16" s="15" t="n">
        <v>33</v>
      </c>
      <c r="H16" s="15" t="n">
        <v>19.4</v>
      </c>
      <c r="I16" s="9" t="n">
        <v>-9</v>
      </c>
    </row>
    <row r="17">
      <c r="A17" s="7" t="inlineStr">
        <is>
          <t>COVO TOD Apt</t>
        </is>
      </c>
      <c r="B17" s="8" t="inlineStr">
        <is>
          <t>March 2025</t>
        </is>
      </c>
      <c r="C17" s="8" t="n">
        <v>26</v>
      </c>
      <c r="D17" s="8" t="n">
        <v>11.6</v>
      </c>
      <c r="E17" s="8" t="n">
        <v>72</v>
      </c>
      <c r="F17" s="8" t="n">
        <v>38.6</v>
      </c>
      <c r="G17" s="8" t="n">
        <v>34</v>
      </c>
      <c r="H17" s="8" t="n">
        <v>1.6</v>
      </c>
      <c r="I17" s="9" t="n">
        <v>-8</v>
      </c>
    </row>
    <row r="18">
      <c r="A18" s="14" t="inlineStr">
        <is>
          <t>Arawani Semi-D</t>
        </is>
      </c>
      <c r="B18" s="15" t="inlineStr">
        <is>
          <t>January 2025</t>
        </is>
      </c>
      <c r="C18" s="15" t="n">
        <v>14</v>
      </c>
      <c r="D18" s="15" t="n">
        <v>10.3</v>
      </c>
      <c r="E18" s="15" t="n">
        <v>14</v>
      </c>
      <c r="F18" s="15" t="n">
        <v>10.3</v>
      </c>
      <c r="G18" s="15" t="n">
        <v>25</v>
      </c>
      <c r="H18" s="15" t="n">
        <v>18.4</v>
      </c>
      <c r="I18" s="9" t="n">
        <v>-11</v>
      </c>
    </row>
    <row r="19">
      <c r="A19" s="7" t="inlineStr">
        <is>
          <t>Arawani Semi-D</t>
        </is>
      </c>
      <c r="B19" s="8" t="inlineStr">
        <is>
          <t>February 2025</t>
        </is>
      </c>
      <c r="C19" s="8" t="n">
        <v>12</v>
      </c>
      <c r="D19" s="8" t="n">
        <v>8.800000000000001</v>
      </c>
      <c r="E19" s="8" t="n">
        <v>26</v>
      </c>
      <c r="F19" s="8" t="n">
        <v>19.1</v>
      </c>
      <c r="G19" s="8" t="n">
        <v>25</v>
      </c>
      <c r="H19" s="8" t="n">
        <v>18.4</v>
      </c>
      <c r="I19" s="9" t="n">
        <v>-13</v>
      </c>
    </row>
    <row r="20">
      <c r="A20" s="14" t="inlineStr">
        <is>
          <t>Arawani Semi-D</t>
        </is>
      </c>
      <c r="B20" s="15" t="inlineStr">
        <is>
          <t>March 2025</t>
        </is>
      </c>
      <c r="C20" s="15" t="n">
        <v>8</v>
      </c>
      <c r="D20" s="15" t="n">
        <v>10.3</v>
      </c>
      <c r="E20" s="15" t="n">
        <v>34</v>
      </c>
      <c r="F20" s="15" t="n">
        <v>29.4</v>
      </c>
      <c r="G20" s="15" t="n">
        <v>26</v>
      </c>
      <c r="H20" s="15" t="n">
        <v>18.4</v>
      </c>
      <c r="I20" s="9" t="n">
        <v>-18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4" customWidth="1" min="4" max="4"/>
    <col width="22" customWidth="1" min="5" max="5"/>
    <col width="18" customWidth="1" min="6" max="6"/>
    <col width="22" customWidth="1" min="7" max="7"/>
  </cols>
  <sheetData>
    <row r="1" ht="28" customHeight="1">
      <c r="A1" s="13" t="inlineStr">
        <is>
          <t>IOI Properties — Q1 2025 Buyer Profile &amp; Lead Source Analysis</t>
        </is>
      </c>
    </row>
    <row r="2" ht="45" customHeight="1">
      <c r="A2" s="3" t="inlineStr">
        <is>
          <t>Project Name</t>
        </is>
      </c>
      <c r="B2" s="3" t="inlineStr">
        <is>
          <t>Lead Source</t>
        </is>
      </c>
      <c r="C2" s="3" t="inlineStr">
        <is>
          <t>Leads Generated</t>
        </is>
      </c>
      <c r="D2" s="3" t="inlineStr">
        <is>
          <t>Site Visits</t>
        </is>
      </c>
      <c r="E2" s="3" t="inlineStr">
        <is>
          <t>Conversions (Units Sold)</t>
        </is>
      </c>
      <c r="F2" s="3" t="inlineStr">
        <is>
          <t>Conversion Rate %</t>
        </is>
      </c>
      <c r="G2" s="3" t="inlineStr">
        <is>
          <t>Avg Purchase Price (RM)</t>
        </is>
      </c>
    </row>
    <row r="3">
      <c r="A3" s="7" t="inlineStr">
        <is>
          <t>2Rio Residence</t>
        </is>
      </c>
      <c r="B3" s="7" t="inlineStr">
        <is>
          <t>Digital / Social Media</t>
        </is>
      </c>
      <c r="C3" s="8" t="n">
        <v>820</v>
      </c>
      <c r="D3" s="8" t="n">
        <v>210</v>
      </c>
      <c r="E3" s="8" t="n">
        <v>88</v>
      </c>
      <c r="F3" s="8" t="inlineStr">
        <is>
          <t>41.9%</t>
        </is>
      </c>
      <c r="G3" s="8" t="inlineStr">
        <is>
          <t>RM 635,000</t>
        </is>
      </c>
    </row>
    <row r="4">
      <c r="A4" s="14" t="inlineStr">
        <is>
          <t>2Rio Residence</t>
        </is>
      </c>
      <c r="B4" s="14" t="inlineStr">
        <is>
          <t>PropertyGuru</t>
        </is>
      </c>
      <c r="C4" s="15" t="n">
        <v>540</v>
      </c>
      <c r="D4" s="15" t="n">
        <v>145</v>
      </c>
      <c r="E4" s="15" t="n">
        <v>48</v>
      </c>
      <c r="F4" s="15" t="inlineStr">
        <is>
          <t>33.1%</t>
        </is>
      </c>
      <c r="G4" s="15" t="inlineStr">
        <is>
          <t>RM 648,000</t>
        </is>
      </c>
    </row>
    <row r="5">
      <c r="A5" s="7" t="inlineStr">
        <is>
          <t>2Rio Residence</t>
        </is>
      </c>
      <c r="B5" s="7" t="inlineStr">
        <is>
          <t>Walk-in Gallery</t>
        </is>
      </c>
      <c r="C5" s="8" t="n">
        <v>310</v>
      </c>
      <c r="D5" s="8" t="n">
        <v>310</v>
      </c>
      <c r="E5" s="8" t="n">
        <v>20</v>
      </c>
      <c r="F5" s="8" t="inlineStr">
        <is>
          <t>6.5%</t>
        </is>
      </c>
      <c r="G5" s="8" t="inlineStr">
        <is>
          <t>RM 612,000</t>
        </is>
      </c>
    </row>
    <row r="6">
      <c r="A6" s="14" t="inlineStr">
        <is>
          <t>Caladia Serviced Apt</t>
        </is>
      </c>
      <c r="B6" s="14" t="inlineStr">
        <is>
          <t>Digital / Social Media</t>
        </is>
      </c>
      <c r="C6" s="15" t="n">
        <v>1100</v>
      </c>
      <c r="D6" s="15" t="n">
        <v>280</v>
      </c>
      <c r="E6" s="15" t="n">
        <v>106</v>
      </c>
      <c r="F6" s="15" t="inlineStr">
        <is>
          <t>37.9%</t>
        </is>
      </c>
      <c r="G6" s="15" t="inlineStr">
        <is>
          <t>RM 428,000</t>
        </is>
      </c>
    </row>
    <row r="7">
      <c r="A7" s="7" t="inlineStr">
        <is>
          <t>Caladia Serviced Apt</t>
        </is>
      </c>
      <c r="B7" s="7" t="inlineStr">
        <is>
          <t>PropertyGuru</t>
        </is>
      </c>
      <c r="C7" s="8" t="n">
        <v>680</v>
      </c>
      <c r="D7" s="8" t="n">
        <v>190</v>
      </c>
      <c r="E7" s="8" t="n">
        <v>78</v>
      </c>
      <c r="F7" s="8" t="inlineStr">
        <is>
          <t>41.1%</t>
        </is>
      </c>
      <c r="G7" s="8" t="inlineStr">
        <is>
          <t>RM 435,000</t>
        </is>
      </c>
    </row>
    <row r="8">
      <c r="A8" s="14" t="inlineStr">
        <is>
          <t>Caladia Serviced Apt</t>
        </is>
      </c>
      <c r="B8" s="14" t="inlineStr">
        <is>
          <t>Walk-in Gallery</t>
        </is>
      </c>
      <c r="C8" s="15" t="n">
        <v>420</v>
      </c>
      <c r="D8" s="15" t="n">
        <v>420</v>
      </c>
      <c r="E8" s="15" t="n">
        <v>42</v>
      </c>
      <c r="F8" s="15" t="inlineStr">
        <is>
          <t>10.0%</t>
        </is>
      </c>
      <c r="G8" s="15" t="inlineStr">
        <is>
          <t>RM 418,000</t>
        </is>
      </c>
    </row>
    <row r="9">
      <c r="A9" s="7" t="inlineStr">
        <is>
          <t>Veena Cluster Homes</t>
        </is>
      </c>
      <c r="B9" s="7" t="inlineStr">
        <is>
          <t>Digital / Social Media</t>
        </is>
      </c>
      <c r="C9" s="8" t="n">
        <v>340</v>
      </c>
      <c r="D9" s="8" t="n">
        <v>88</v>
      </c>
      <c r="E9" s="8" t="n">
        <v>20</v>
      </c>
      <c r="F9" s="8" t="inlineStr">
        <is>
          <t>22.7%</t>
        </is>
      </c>
      <c r="G9" s="8" t="inlineStr">
        <is>
          <t>RM 1,215,000</t>
        </is>
      </c>
    </row>
    <row r="10">
      <c r="A10" s="14" t="inlineStr">
        <is>
          <t>Veena Cluster Homes</t>
        </is>
      </c>
      <c r="B10" s="14" t="inlineStr">
        <is>
          <t>PropertyGuru</t>
        </is>
      </c>
      <c r="C10" s="15" t="n">
        <v>280</v>
      </c>
      <c r="D10" s="15" t="n">
        <v>72</v>
      </c>
      <c r="E10" s="15" t="n">
        <v>16</v>
      </c>
      <c r="F10" s="15" t="inlineStr">
        <is>
          <t>22.2%</t>
        </is>
      </c>
      <c r="G10" s="15" t="inlineStr">
        <is>
          <t>RM 1,198,000</t>
        </is>
      </c>
    </row>
    <row r="11">
      <c r="A11" s="7" t="inlineStr">
        <is>
          <t>Veena Cluster Homes</t>
        </is>
      </c>
      <c r="B11" s="7" t="inlineStr">
        <is>
          <t>Referral / Agent</t>
        </is>
      </c>
      <c r="C11" s="8" t="n">
        <v>210</v>
      </c>
      <c r="D11" s="8" t="n">
        <v>90</v>
      </c>
      <c r="E11" s="8" t="n">
        <v>15</v>
      </c>
      <c r="F11" s="8" t="inlineStr">
        <is>
          <t>16.7%</t>
        </is>
      </c>
      <c r="G11" s="8" t="inlineStr">
        <is>
          <t>RM 1,240,000</t>
        </is>
      </c>
    </row>
    <row r="12">
      <c r="A12" s="14" t="inlineStr">
        <is>
          <t>Aurelia Townhouse</t>
        </is>
      </c>
      <c r="B12" s="14" t="inlineStr">
        <is>
          <t>Digital / Social Media</t>
        </is>
      </c>
      <c r="C12" s="15" t="n">
        <v>290</v>
      </c>
      <c r="D12" s="15" t="n">
        <v>75</v>
      </c>
      <c r="E12" s="15" t="n">
        <v>24</v>
      </c>
      <c r="F12" s="15" t="inlineStr">
        <is>
          <t>32.0%</t>
        </is>
      </c>
      <c r="G12" s="15" t="inlineStr">
        <is>
          <t>RM 632,000</t>
        </is>
      </c>
    </row>
    <row r="13">
      <c r="A13" s="7" t="inlineStr">
        <is>
          <t>Aurelia Townhouse</t>
        </is>
      </c>
      <c r="B13" s="7" t="inlineStr">
        <is>
          <t>Walk-in Gallery</t>
        </is>
      </c>
      <c r="C13" s="8" t="n">
        <v>180</v>
      </c>
      <c r="D13" s="8" t="n">
        <v>180</v>
      </c>
      <c r="E13" s="8" t="n">
        <v>30</v>
      </c>
      <c r="F13" s="8" t="inlineStr">
        <is>
          <t>16.7%</t>
        </is>
      </c>
      <c r="G13" s="8" t="inlineStr">
        <is>
          <t>RM 618,000</t>
        </is>
      </c>
    </row>
    <row r="14">
      <c r="A14" s="14" t="inlineStr">
        <is>
          <t>COVO TOD Apt</t>
        </is>
      </c>
      <c r="B14" s="14" t="inlineStr">
        <is>
          <t>Digital / Social Media</t>
        </is>
      </c>
      <c r="C14" s="15" t="n">
        <v>560</v>
      </c>
      <c r="D14" s="15" t="n">
        <v>140</v>
      </c>
      <c r="E14" s="15" t="n">
        <v>42</v>
      </c>
      <c r="F14" s="15" t="inlineStr">
        <is>
          <t>30.0%</t>
        </is>
      </c>
      <c r="G14" s="15" t="inlineStr">
        <is>
          <t>RM 576,000</t>
        </is>
      </c>
    </row>
    <row r="15">
      <c r="A15" s="7" t="inlineStr">
        <is>
          <t>COVO TOD Apt</t>
        </is>
      </c>
      <c r="B15" s="7" t="inlineStr">
        <is>
          <t>PropertyGuru</t>
        </is>
      </c>
      <c r="C15" s="8" t="n">
        <v>310</v>
      </c>
      <c r="D15" s="8" t="n">
        <v>82</v>
      </c>
      <c r="E15" s="8" t="n">
        <v>20</v>
      </c>
      <c r="F15" s="8" t="inlineStr">
        <is>
          <t>24.4%</t>
        </is>
      </c>
      <c r="G15" s="8" t="inlineStr">
        <is>
          <t>RM 591,000</t>
        </is>
      </c>
    </row>
    <row r="16">
      <c r="A16" s="14" t="inlineStr">
        <is>
          <t>Arawani Semi-D</t>
        </is>
      </c>
      <c r="B16" s="14" t="inlineStr">
        <is>
          <t>Digital / Social Media</t>
        </is>
      </c>
      <c r="C16" s="15" t="n">
        <v>180</v>
      </c>
      <c r="D16" s="15" t="n">
        <v>60</v>
      </c>
      <c r="E16" s="15" t="n">
        <v>14</v>
      </c>
      <c r="F16" s="15" t="inlineStr">
        <is>
          <t>23.3%</t>
        </is>
      </c>
      <c r="G16" s="15" t="inlineStr">
        <is>
          <t>RM 1,428,000</t>
        </is>
      </c>
    </row>
    <row r="17">
      <c r="A17" s="7" t="inlineStr">
        <is>
          <t>Arawani Semi-D</t>
        </is>
      </c>
      <c r="B17" s="7" t="inlineStr">
        <is>
          <t>Referral / Agent</t>
        </is>
      </c>
      <c r="C17" s="8" t="n">
        <v>150</v>
      </c>
      <c r="D17" s="8" t="n">
        <v>55</v>
      </c>
      <c r="E17" s="8" t="n">
        <v>20</v>
      </c>
      <c r="F17" s="8" t="inlineStr">
        <is>
          <t>36.4%</t>
        </is>
      </c>
      <c r="G17" s="8" t="inlineStr">
        <is>
          <t>RM 1,462,000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2026-05-01T10:45:12Z</dcterms:created>
  <dcterms:modified xmlns:dcterms="http://purl.org/dc/terms/" xmlns:xsi="http://www.w3.org/2001/XMLSchema-instance" xsi:type="dcterms:W3CDTF">2026-05-01T10:45:12Z</dcterms:modified>
</cp:coreProperties>
</file>